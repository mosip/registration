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erfScripts\Release\Platform1.3.x\performance-test\packet-credential-processing\"/>
    </mc:Choice>
  </mc:AlternateContent>
  <xr:revisionPtr revIDLastSave="0" documentId="13_ncr:1_{718FB06F-AD50-40DD-90E4-7EAD5D5304C0}" xr6:coauthVersionLast="36" xr6:coauthVersionMax="36" xr10:uidLastSave="{00000000-0000-0000-0000-000000000000}"/>
  <bookViews>
    <workbookView xWindow="0" yWindow="0" windowWidth="15345" windowHeight="4470" xr2:uid="{00F0FE37-4E08-4BBA-8E9E-0C9A5473C445}"/>
  </bookViews>
  <sheets>
    <sheet name="Esignet1.6.2"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<sst xmlns="http://schemas.openxmlformats.org/spreadsheetml/2006/main" count="21" uniqueCount="21">
  <si>
    <t>No. of Threads</t>
  </si>
  <si>
    <t>Scenarios</t>
  </si>
  <si>
    <t>From Performace Request Document</t>
  </si>
  <si>
    <t>Target Scenario TPS</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</si>
  <si>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</si>
  <si>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</si>
  <si>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</si>
  <si>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</si>
  <si>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</si>
  <si>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</si>
  <si>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</si>
  <si>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Constant Throughput Limit
(per minute)</t>
  </si>
  <si>
    <t>Totals --&gt;</t>
  </si>
  <si>
    <t>Fill in Required values in Yellow cells</t>
  </si>
  <si>
    <t>Delay between the initiation of new thread
(recommended - 2 secs)</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</si>
  <si>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</si>
  <si>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</si>
  <si>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</si>
  <si>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</si>
  <si>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P03 Sync And Upload Registration Packet</t>
  </si>
  <si>
    <t>Scenario Reponse Time
(From shakeout test)
 (ms)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</si>
</sst>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69">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0" fontId="0" fillId="0" borderId="0" xfId="0" applyBorder="1"/>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16" xfId="0" applyFont="1" applyFill="1" applyBorder="1" applyAlignment="1">
      <alignment horizont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0" fillId="2" borderId="15" xfId="0" applyFill="1" applyBorder="1" applyAlignment="1">
      <alignment horizontal="center"/>
    </xf>
    <xf numFmtId="0" fontId="11" fillId="0" borderId="9" xfId="0" applyFont="1" applyFill="1" applyBorder="1" applyAlignment="1">
      <alignment horizontal="center" vertical="center" wrapText="1"/>
    </xf>
    <xf numFmtId="0" fontId="0" fillId="5" borderId="20" xfId="0" applyFill="1" applyBorder="1" applyAlignment="1">
      <alignment horizontal="center"/>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topLeftCell="A7" workbookViewId="0">
      <selection activeCell="H10" sqref="H10"/>
    </sheetView>
  </sheetViews>
  <sheetFormatPr defaultRowHeight="15" x14ac:dyDescent="0.25"/>
  <cols>
    <col min="1" max="1" width="39.140625" customWidth="1"/>
    <col min="2" max="2" width="12" bestFit="1" customWidth="1"/>
    <col min="3" max="3" width="11.42578125" customWidth="1"/>
    <col min="4" max="4" width="18.5703125" customWidth="1"/>
    <col min="5" max="5" width="0.140625"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8" t="s">
        <v>13</v>
      </c>
      <c r="B1" s="59"/>
      <c r="C1" s="59"/>
      <c r="D1" s="59"/>
      <c r="H1" s="60" t="s">
        <v>18</v>
      </c>
      <c r="I1" s="60"/>
      <c r="J1" s="60"/>
      <c r="K1" s="60"/>
    </row>
    <row r="2" spans="1:11" ht="27" customHeight="1" thickBot="1" x14ac:dyDescent="0.45">
      <c r="A2" s="61" t="s">
        <v>8</v>
      </c>
      <c r="B2" s="61"/>
      <c r="C2" s="62"/>
      <c r="D2" s="50">
        <v>100</v>
      </c>
      <c r="E2" s="2"/>
      <c r="F2" s="3"/>
      <c r="G2" s="2"/>
      <c r="H2" s="2"/>
      <c r="I2" s="2"/>
      <c r="J2" s="2"/>
      <c r="K2" s="1"/>
    </row>
    <row r="3" spans="1:11" ht="21.75" thickBot="1" x14ac:dyDescent="0.35">
      <c r="A3" s="56" t="s">
        <v>17</v>
      </c>
      <c r="B3" s="56"/>
      <c r="C3" s="57"/>
      <c r="D3" s="51">
        <f>$D$2*(SUM($E6:$E15)/($C$16*100))</f>
        <v>200</v>
      </c>
      <c r="E3" s="2"/>
      <c r="F3" s="3"/>
      <c r="G3" s="2"/>
      <c r="H3" s="2"/>
      <c r="I3" s="2"/>
      <c r="J3" s="2"/>
      <c r="K3" s="1"/>
    </row>
    <row r="4" spans="1:11" ht="26.25" thickBot="1" x14ac:dyDescent="0.3">
      <c r="A4" s="63" t="s">
        <v>2</v>
      </c>
      <c r="B4" s="64"/>
      <c r="C4" s="65"/>
      <c r="D4" s="48" t="s">
        <v>10</v>
      </c>
      <c r="E4" s="4"/>
      <c r="F4" s="2"/>
      <c r="G4" s="4"/>
      <c r="H4" s="66" t="s">
        <v>6</v>
      </c>
      <c r="I4" s="67"/>
      <c r="J4" s="67"/>
      <c r="K4" s="68"/>
    </row>
    <row r="5" spans="1:11" ht="75.75" thickBot="1" x14ac:dyDescent="0.3">
      <c r="A5" s="22" t="s">
        <v>1</v>
      </c>
      <c r="B5" s="23" t="s">
        <v>4</v>
      </c>
      <c r="C5" s="24" t="s">
        <v>5</v>
      </c>
      <c r="D5" s="25" t="s">
        <v>20</v>
      </c>
      <c r="E5" s="26" t="s">
        <v>9</v>
      </c>
      <c r="F5" s="22" t="s">
        <v>16</v>
      </c>
      <c r="G5" s="23" t="s">
        <v>3</v>
      </c>
      <c r="H5" s="27" t="s">
        <v>0</v>
      </c>
      <c r="I5" s="28" t="s">
        <v>11</v>
      </c>
      <c r="J5" s="31"/>
      <c r="K5" s="24" t="s">
        <v>7</v>
      </c>
    </row>
    <row r="6" spans="1:11" ht="30" x14ac:dyDescent="0.25">
      <c r="A6" s="19" t="s">
        <v>19</v>
      </c>
      <c r="B6" s="34">
        <v>2</v>
      </c>
      <c r="C6" s="35">
        <v>100</v>
      </c>
      <c r="D6" s="36">
        <v>30</v>
      </c>
      <c r="E6" s="11">
        <f>$C6*$B6</f>
        <v>200</v>
      </c>
      <c r="F6" s="12">
        <f t="shared" ref="F6:F15" si="0">$D$3*$E6/SUM($E$6:$E$16)</f>
        <v>200</v>
      </c>
      <c r="G6" s="13">
        <f t="shared" ref="G6:G15" si="1">IF(ISNUMBER(B6),F6/B6,"")</f>
        <v>100</v>
      </c>
      <c r="H6" s="16">
        <f>IF(ISNUMBER($D6*$G6),ROUNDUP($D6*$G6/1000+1,0),"")</f>
        <v>4</v>
      </c>
      <c r="I6" s="17">
        <f>ROUNDUP($F6,0)*60</f>
        <v>12000</v>
      </c>
      <c r="J6" s="32"/>
      <c r="K6" s="49">
        <f>$H$16*K12</f>
        <v>8</v>
      </c>
    </row>
    <row r="7" spans="1:11" ht="15.75" thickBot="1" x14ac:dyDescent="0.3">
      <c r="A7" s="20"/>
      <c r="B7" s="37"/>
      <c r="C7" s="38"/>
      <c r="D7" s="39"/>
      <c r="E7" s="11">
        <f t="shared" ref="E7:E15" si="2">$C7*$B7</f>
        <v>0</v>
      </c>
      <c r="F7" s="8">
        <f t="shared" si="0"/>
        <v>0</v>
      </c>
      <c r="G7" s="6" t="str">
        <f t="shared" si="1"/>
        <v/>
      </c>
      <c r="H7" s="16" t="str">
        <f t="shared" ref="H7:H15" si="3">IF(ISNUMBER($D7*$G7),ROUNDUP($D7*$G7/1000+1,0),"")</f>
        <v/>
      </c>
      <c r="I7" s="17">
        <f t="shared" ref="I7:I15" si="4">ROUNDUP($F7,0)*60</f>
        <v>0</v>
      </c>
      <c r="J7" s="32"/>
      <c r="K7" s="5"/>
    </row>
    <row r="8" spans="1:11" x14ac:dyDescent="0.25">
      <c r="A8" s="20"/>
      <c r="B8" s="37"/>
      <c r="C8" s="38"/>
      <c r="D8" s="39"/>
      <c r="E8" s="11">
        <f t="shared" si="2"/>
        <v>0</v>
      </c>
      <c r="F8" s="8">
        <f t="shared" si="0"/>
        <v>0</v>
      </c>
      <c r="G8" s="6" t="str">
        <f t="shared" si="1"/>
        <v/>
      </c>
      <c r="H8" s="16" t="str">
        <f t="shared" si="3"/>
        <v/>
      </c>
      <c r="I8" s="29">
        <f t="shared" si="4"/>
        <v>0</v>
      </c>
      <c r="J8" s="32"/>
      <c r="K8" s="53" t="s">
        <v>14</v>
      </c>
    </row>
    <row r="9" spans="1:11" x14ac:dyDescent="0.25">
      <c r="A9" s="20"/>
      <c r="B9" s="37"/>
      <c r="C9" s="38"/>
      <c r="D9" s="39"/>
      <c r="E9" s="11">
        <f t="shared" si="2"/>
        <v>0</v>
      </c>
      <c r="F9" s="8">
        <f t="shared" si="0"/>
        <v>0</v>
      </c>
      <c r="G9" s="6" t="str">
        <f t="shared" si="1"/>
        <v/>
      </c>
      <c r="H9" s="16" t="str">
        <f t="shared" si="3"/>
        <v/>
      </c>
      <c r="I9" s="29">
        <f t="shared" si="4"/>
        <v>0</v>
      </c>
      <c r="J9" s="32"/>
      <c r="K9" s="54"/>
    </row>
    <row r="10" spans="1:11" x14ac:dyDescent="0.25">
      <c r="A10" s="20"/>
      <c r="B10" s="37"/>
      <c r="C10" s="38"/>
      <c r="D10" s="39"/>
      <c r="E10" s="11">
        <f t="shared" si="2"/>
        <v>0</v>
      </c>
      <c r="F10" s="8">
        <f t="shared" si="0"/>
        <v>0</v>
      </c>
      <c r="G10" s="6" t="str">
        <f t="shared" si="1"/>
        <v/>
      </c>
      <c r="H10" s="16" t="str">
        <f t="shared" si="3"/>
        <v/>
      </c>
      <c r="I10" s="17">
        <f t="shared" si="4"/>
        <v>0</v>
      </c>
      <c r="J10" s="32"/>
      <c r="K10" s="54"/>
    </row>
    <row r="11" spans="1:11" ht="15" customHeight="1" thickBot="1" x14ac:dyDescent="0.3">
      <c r="A11" s="20"/>
      <c r="B11" s="40"/>
      <c r="C11" s="41"/>
      <c r="D11" s="42"/>
      <c r="E11" s="11">
        <f t="shared" si="2"/>
        <v>0</v>
      </c>
      <c r="F11" s="8">
        <f t="shared" si="0"/>
        <v>0</v>
      </c>
      <c r="G11" s="6" t="str">
        <f t="shared" si="1"/>
        <v/>
      </c>
      <c r="H11" s="16" t="str">
        <f t="shared" si="3"/>
        <v/>
      </c>
      <c r="I11" s="17">
        <f t="shared" si="4"/>
        <v>0</v>
      </c>
      <c r="J11" s="32"/>
      <c r="K11" s="55"/>
    </row>
    <row r="12" spans="1:11" ht="15.75" thickBot="1" x14ac:dyDescent="0.3">
      <c r="A12" s="20"/>
      <c r="B12" s="40"/>
      <c r="C12" s="41"/>
      <c r="D12" s="42"/>
      <c r="E12" s="11">
        <f t="shared" si="2"/>
        <v>0</v>
      </c>
      <c r="F12" s="8">
        <f t="shared" si="0"/>
        <v>0</v>
      </c>
      <c r="G12" s="6" t="str">
        <f t="shared" si="1"/>
        <v/>
      </c>
      <c r="H12" s="16" t="str">
        <f t="shared" si="3"/>
        <v/>
      </c>
      <c r="I12" s="17">
        <f t="shared" si="4"/>
        <v>0</v>
      </c>
      <c r="J12" s="33"/>
      <c r="K12" s="47">
        <v>2</v>
      </c>
    </row>
    <row r="13" spans="1:11" x14ac:dyDescent="0.25">
      <c r="A13" s="20"/>
      <c r="B13" s="37"/>
      <c r="C13" s="38"/>
      <c r="D13" s="43"/>
      <c r="E13" s="11">
        <f t="shared" si="2"/>
        <v>0</v>
      </c>
      <c r="F13" s="8">
        <f t="shared" si="0"/>
        <v>0</v>
      </c>
      <c r="G13" s="6" t="str">
        <f t="shared" si="1"/>
        <v/>
      </c>
      <c r="H13" s="16" t="str">
        <f t="shared" si="3"/>
        <v/>
      </c>
      <c r="I13" s="17">
        <f t="shared" si="4"/>
        <v>0</v>
      </c>
      <c r="J13" s="33"/>
    </row>
    <row r="14" spans="1:11" x14ac:dyDescent="0.25">
      <c r="A14" s="20"/>
      <c r="B14" s="37"/>
      <c r="C14" s="38"/>
      <c r="D14" s="39"/>
      <c r="E14" s="11">
        <f t="shared" si="2"/>
        <v>0</v>
      </c>
      <c r="F14" s="8">
        <f t="shared" si="0"/>
        <v>0</v>
      </c>
      <c r="G14" s="6" t="str">
        <f t="shared" si="1"/>
        <v/>
      </c>
      <c r="H14" s="16" t="str">
        <f t="shared" si="3"/>
        <v/>
      </c>
      <c r="I14" s="17">
        <f t="shared" si="4"/>
        <v>0</v>
      </c>
      <c r="J14" s="33"/>
    </row>
    <row r="15" spans="1:11" ht="15.75" thickBot="1" x14ac:dyDescent="0.3">
      <c r="A15" s="21"/>
      <c r="B15" s="44"/>
      <c r="C15" s="45"/>
      <c r="D15" s="46"/>
      <c r="E15" s="11">
        <f t="shared" si="2"/>
        <v>0</v>
      </c>
      <c r="F15" s="9">
        <f t="shared" si="0"/>
        <v>0</v>
      </c>
      <c r="G15" s="10" t="str">
        <f t="shared" si="1"/>
        <v/>
      </c>
      <c r="H15" s="16" t="str">
        <f t="shared" si="3"/>
        <v/>
      </c>
      <c r="I15" s="17">
        <f t="shared" si="4"/>
        <v>0</v>
      </c>
      <c r="J15" s="33"/>
    </row>
    <row r="16" spans="1:11" ht="19.5" thickBot="1" x14ac:dyDescent="0.3">
      <c r="C16" s="30" t="str">
        <f>_xlfn.CONCAT(SUM(C6:C15)," %")</f>
        <v>100 %</v>
      </c>
      <c r="D16" s="14" t="s">
        <v>12</v>
      </c>
      <c r="E16" s="7"/>
      <c r="F16" s="52">
        <f>SUM(F6:F15)</f>
        <v>200</v>
      </c>
      <c r="G16" s="15">
        <f>SUM(G6:G15)</f>
        <v>100</v>
      </c>
      <c r="H16" s="18">
        <f>SUM(H6:H15)</f>
        <v>4</v>
      </c>
    </row>
    <row r="17" spans="1:1" x14ac:dyDescent="0.25">
      <c r="A17" t="s">
        <v>15</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Esignet1.6.2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2025-11-03T04:05:12Z</dcterms:modified>
</cp:coreProperties>
</file>