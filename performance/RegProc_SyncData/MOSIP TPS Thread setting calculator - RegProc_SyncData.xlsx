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erfScripts\Release\Platform1.3.x\RegProc_SyncData\"/>
    </mc:Choice>
  </mc:AlternateContent>
  <xr:revisionPtr revIDLastSave="0" documentId="13_ncr:1_{7A88D8B1-C6B6-407A-82C5-E8D39435F8AD}" xr6:coauthVersionLast="36" xr6:coauthVersionMax="36" xr10:uidLastSave="{00000000-0000-0000-0000-000000000000}"/>
  <bookViews>
    <workbookView xWindow="0" yWindow="0" windowWidth="15345" windowHeight="4470" xr2:uid="{00F0FE37-4E08-4BBA-8E9E-0C9A5473C445}"/>
  </bookViews>
  <sheets>
    <sheet name="Esignet1.6.2" sheetId="2"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2" l="1"/>
  <c r="G15" i="2"/>
  <c r="H15" i="2" s="1"/>
  <c r="E15" i="2"/>
  <c r="G14" i="2"/>
  <c r="H14" i="2" s="1"/>
  <c r="E14" i="2"/>
  <c r="G13" i="2"/>
  <c r="H13" i="2" s="1"/>
  <c r="E13" i="2"/>
  <c r="G12" i="2"/>
  <c r="H12" i="2" s="1"/>
  <c r="E12" i="2"/>
  <c r="G11" i="2"/>
  <c r="H11" i="2" s="1"/>
  <c r="E11" i="2"/>
  <c r="G10" i="2"/>
  <c r="H10" i="2" s="1"/>
  <c r="E10" i="2"/>
  <c r="E9" i="2"/>
  <c r="E8" i="2"/>
  <c r="E7" i="2"/>
  <c r="E6" i="2"/>
  <c r="D3" i="2" l="1"/>
  <c r="F10" i="2" s="1"/>
  <c r="I10" i="2" s="1"/>
  <c r="F6" i="2" l="1"/>
  <c r="I6" i="2" s="1"/>
  <c r="F7" i="2"/>
  <c r="I7" i="2" s="1"/>
  <c r="F12" i="2"/>
  <c r="I12" i="2" s="1"/>
  <c r="F8" i="2"/>
  <c r="I8" i="2" s="1"/>
  <c r="F13" i="2"/>
  <c r="I13" i="2" s="1"/>
  <c r="F9" i="2"/>
  <c r="G9" i="2" s="1"/>
  <c r="H9" i="2" s="1"/>
  <c r="F11" i="2"/>
  <c r="I11" i="2" s="1"/>
  <c r="F15" i="2"/>
  <c r="I15" i="2" s="1"/>
  <c r="F14" i="2"/>
  <c r="I14" i="2" s="1"/>
  <c r="G8" i="2" l="1"/>
  <c r="H8" i="2" s="1"/>
  <c r="G7" i="2"/>
  <c r="H7" i="2" s="1"/>
  <c r="G6" i="2"/>
  <c r="F16" i="2"/>
  <c r="I9" i="2"/>
  <c r="G16" i="2" l="1"/>
  <c r="H6" i="2"/>
  <c r="H16" i="2" s="1"/>
  <c r="K6" i="2" s="1"/>
</calcChain>
</file>

<file path=xl/sharedStrings.xml><?xml version="1.0" encoding="utf-8"?>
<sst xmlns="http://schemas.openxmlformats.org/spreadsheetml/2006/main" count="23" uniqueCount="23">
  <si>
    <t>No. of Threads</t>
  </si>
  <si>
    <t>Scenarios</t>
  </si>
  <si>
    <t>From Performace Request Document</t>
  </si>
  <si>
    <t>Target Scenario TPS</t>
  </si>
  <si>
    <t>Number of Endpoints in Scenario</t>
  </si>
  <si>
    <t>Weightage
 (%)</t>
  </si>
  <si>
    <t>Load settings for Jmeter</t>
  </si>
  <si>
    <r>
      <t xml:space="preserve">Ramp up Period
( </t>
    </r>
    <r>
      <rPr>
        <sz val="11"/>
        <color theme="1"/>
        <rFont val="Calibri"/>
        <family val="2"/>
        <scheme val="minor"/>
      </rPr>
      <t>${RampUp}</t>
    </r>
    <r>
      <rPr>
        <b/>
        <sz val="11"/>
        <color theme="1"/>
        <rFont val="Calibri"/>
        <family val="2"/>
        <scheme val="minor"/>
      </rPr>
      <t xml:space="preserve"> )</t>
    </r>
  </si>
  <si>
    <t>Total Target TPS --&gt;</t>
  </si>
  <si>
    <r>
      <rPr>
        <b/>
        <i/>
        <sz val="11"/>
        <color rgb="FFFF0000"/>
        <rFont val="Calibri"/>
        <family val="2"/>
        <scheme val="minor"/>
      </rPr>
      <t>(For calculation only)</t>
    </r>
    <r>
      <rPr>
        <b/>
        <sz val="11"/>
        <color rgb="FFFF0000"/>
        <rFont val="Calibri"/>
        <family val="2"/>
        <scheme val="minor"/>
      </rPr>
      <t xml:space="preserve">
Requests per scenario
 X weightage</t>
    </r>
  </si>
  <si>
    <t>From Test Execution</t>
  </si>
  <si>
    <t>Constant Throughput Limit
(per minute)</t>
  </si>
  <si>
    <t>Totals --&gt;</t>
  </si>
  <si>
    <t>Fill in Required values in Yellow cells</t>
  </si>
  <si>
    <t>Delay between the initiation of new thread
(recommended - 2 secs)</t>
  </si>
  <si>
    <t>Scenario Reponse Time
 (ms) (Average)</t>
  </si>
  <si>
    <r>
      <rPr>
        <b/>
        <sz val="11"/>
        <color theme="1"/>
        <rFont val="Calibri"/>
        <family val="2"/>
        <scheme val="minor"/>
      </rPr>
      <t>Note:</t>
    </r>
    <r>
      <rPr>
        <sz val="11"/>
        <color theme="1"/>
        <rFont val="Calibri"/>
        <family val="2"/>
        <scheme val="minor"/>
      </rPr>
      <t xml:space="preserve"> The "No. of Threads" value may need to be increased slightly to achieve the Target TPS in the actual test to compensate for the potential delays within Load generator machine's processing capacity.</t>
    </r>
  </si>
  <si>
    <t>Target Endpoint RPS</t>
  </si>
  <si>
    <t>Calculated RPS --&gt;</t>
  </si>
  <si>
    <t>Apply Values from Gold colored cells as settings in Jmeter</t>
  </si>
  <si>
    <t>S01</t>
  </si>
  <si>
    <t>S02</t>
  </si>
  <si>
    <t>S03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</si>
</sst>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i/>
      <u/>
      <sz val="10"/>
      <color theme="1"/>
      <name val="Calibri"/>
      <family val="2"/>
      <scheme val="minor"/>
    </font>
    <font>
      <i/>
      <sz val="11"/>
      <color theme="1"/>
      <name val="Calibri"/>
      <family val="2"/>
      <scheme val="minor"/>
    </font>
    <font>
      <b/>
      <sz val="14"/>
      <color theme="1"/>
      <name val="Calibri"/>
      <family val="2"/>
      <scheme val="minor"/>
    </font>
    <font>
      <b/>
      <sz val="11"/>
      <color rgb="FFFF0000"/>
      <name val="Calibri"/>
      <family val="2"/>
      <scheme val="minor"/>
    </font>
    <font>
      <b/>
      <i/>
      <sz val="11"/>
      <color rgb="FFFF0000"/>
      <name val="Calibri"/>
      <family val="2"/>
      <scheme val="minor"/>
    </font>
    <font>
      <sz val="20"/>
      <color theme="1"/>
      <name val="Calibri"/>
      <family val="2"/>
      <scheme val="minor"/>
    </font>
    <font>
      <sz val="14"/>
      <color rgb="FFFF0000"/>
      <name val="Calibri"/>
      <family val="2"/>
      <scheme val="minor"/>
    </font>
    <font>
      <b/>
      <i/>
      <u/>
      <sz val="10"/>
      <color rgb="FFFF0000"/>
      <name val="Calibri"/>
      <family val="2"/>
      <scheme val="minor"/>
    </font>
    <font>
      <sz val="16"/>
      <color theme="1"/>
      <name val="Calibri"/>
      <family val="2"/>
      <scheme val="minor"/>
    </font>
    <font>
      <sz val="14"/>
      <color theme="1"/>
      <name val="Calibri"/>
      <family val="2"/>
      <scheme val="minor"/>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92D05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top/>
      <bottom/>
      <diagonal/>
    </border>
    <border>
      <left style="thin">
        <color indexed="64"/>
      </left>
      <right/>
      <top/>
      <bottom/>
      <diagonal/>
    </border>
    <border>
      <left style="medium">
        <color indexed="64"/>
      </left>
      <right style="medium">
        <color indexed="64"/>
      </right>
      <top/>
      <bottom/>
      <diagonal/>
    </border>
  </borders>
  <cellStyleXfs count="1">
    <xf numFmtId="0" fontId="0" fillId="0" borderId="0"/>
  </cellStyleXfs>
  <cellXfs count="69">
    <xf numFmtId="0" fontId="0" fillId="0" borderId="0" xfId="0"/>
    <xf numFmtId="0" fontId="2" fillId="0" borderId="0" xfId="0" applyFont="1" applyBorder="1" applyAlignment="1">
      <alignment wrapText="1"/>
    </xf>
    <xf numFmtId="0" fontId="3" fillId="0" borderId="0" xfId="0" applyFont="1" applyBorder="1" applyAlignment="1">
      <alignment wrapText="1"/>
    </xf>
    <xf numFmtId="0" fontId="0" fillId="0" borderId="0" xfId="0" applyFont="1" applyBorder="1" applyAlignment="1">
      <alignment wrapText="1"/>
    </xf>
    <xf numFmtId="0" fontId="4" fillId="0" borderId="0" xfId="0" applyFont="1" applyBorder="1" applyAlignment="1">
      <alignment horizontal="center" vertical="center" wrapText="1"/>
    </xf>
    <xf numFmtId="0" fontId="0" fillId="0" borderId="0" xfId="0" applyBorder="1"/>
    <xf numFmtId="164" fontId="0" fillId="4" borderId="13" xfId="0" applyNumberFormat="1" applyFont="1" applyFill="1" applyBorder="1" applyAlignment="1">
      <alignment horizontal="right" wrapText="1"/>
    </xf>
    <xf numFmtId="0" fontId="0" fillId="0" borderId="0" xfId="0" applyFont="1" applyFill="1" applyBorder="1" applyAlignment="1">
      <alignment horizontal="right" wrapText="1"/>
    </xf>
    <xf numFmtId="164" fontId="0" fillId="4" borderId="5" xfId="0" applyNumberFormat="1" applyFont="1" applyFill="1" applyBorder="1" applyAlignment="1">
      <alignment horizontal="right" wrapText="1"/>
    </xf>
    <xf numFmtId="164" fontId="0" fillId="4" borderId="7" xfId="0" applyNumberFormat="1" applyFont="1" applyFill="1" applyBorder="1" applyAlignment="1">
      <alignment horizontal="right" wrapText="1"/>
    </xf>
    <xf numFmtId="164" fontId="0" fillId="4" borderId="14" xfId="0" applyNumberFormat="1" applyFont="1" applyFill="1" applyBorder="1" applyAlignment="1">
      <alignment horizontal="right" wrapText="1"/>
    </xf>
    <xf numFmtId="0" fontId="0" fillId="4" borderId="17" xfId="0" applyFont="1" applyFill="1" applyBorder="1" applyAlignment="1">
      <alignment horizontal="right" wrapText="1"/>
    </xf>
    <xf numFmtId="164" fontId="0" fillId="4" borderId="16" xfId="0" applyNumberFormat="1" applyFont="1" applyFill="1" applyBorder="1" applyAlignment="1">
      <alignment horizontal="right" wrapText="1"/>
    </xf>
    <xf numFmtId="164" fontId="0" fillId="4" borderId="17" xfId="0" applyNumberFormat="1" applyFont="1" applyFill="1" applyBorder="1" applyAlignment="1">
      <alignment horizontal="right" wrapText="1"/>
    </xf>
    <xf numFmtId="0" fontId="6" fillId="3" borderId="15" xfId="0" applyFont="1" applyFill="1" applyBorder="1" applyAlignment="1">
      <alignment horizontal="right" vertical="center" wrapText="1"/>
    </xf>
    <xf numFmtId="1" fontId="6" fillId="3" borderId="15" xfId="0" applyNumberFormat="1" applyFont="1" applyFill="1" applyBorder="1" applyAlignment="1">
      <alignment horizontal="right" vertical="center" wrapText="1"/>
    </xf>
    <xf numFmtId="0" fontId="0" fillId="5" borderId="28" xfId="0" applyFont="1" applyFill="1" applyBorder="1" applyAlignment="1">
      <alignment horizontal="right" wrapText="1"/>
    </xf>
    <xf numFmtId="1" fontId="0" fillId="5" borderId="20" xfId="0" applyNumberFormat="1" applyFont="1" applyFill="1" applyBorder="1" applyAlignment="1">
      <alignment horizontal="right" wrapText="1"/>
    </xf>
    <xf numFmtId="1" fontId="6" fillId="3" borderId="1" xfId="0" applyNumberFormat="1" applyFont="1" applyFill="1" applyBorder="1" applyAlignment="1">
      <alignment horizontal="right" vertical="center" wrapText="1"/>
    </xf>
    <xf numFmtId="0" fontId="0" fillId="4" borderId="16" xfId="0" applyFont="1" applyFill="1" applyBorder="1" applyAlignment="1">
      <alignment horizontal="center" wrapText="1"/>
    </xf>
    <xf numFmtId="0" fontId="0" fillId="4" borderId="5" xfId="0" applyFont="1" applyFill="1" applyBorder="1" applyAlignment="1">
      <alignment horizontal="center" wrapText="1"/>
    </xf>
    <xf numFmtId="0" fontId="0" fillId="4" borderId="7" xfId="0" applyFont="1" applyFill="1" applyBorder="1" applyAlignment="1">
      <alignment horizontal="center" wrapText="1"/>
    </xf>
    <xf numFmtId="0" fontId="1" fillId="6" borderId="21"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1" fillId="6" borderId="27" xfId="0" applyFont="1" applyFill="1" applyBorder="1" applyAlignment="1">
      <alignment horizontal="center" vertical="center" wrapText="1"/>
    </xf>
    <xf numFmtId="0" fontId="1" fillId="6" borderId="24" xfId="0" applyFont="1" applyFill="1" applyBorder="1" applyAlignment="1">
      <alignment horizontal="center" vertical="center" wrapText="1"/>
    </xf>
    <xf numFmtId="1" fontId="0" fillId="5" borderId="2" xfId="0" applyNumberFormat="1" applyFont="1" applyFill="1" applyBorder="1" applyAlignment="1">
      <alignment horizontal="right" wrapText="1"/>
    </xf>
    <xf numFmtId="0" fontId="0" fillId="3" borderId="15" xfId="0" applyFont="1" applyFill="1" applyBorder="1" applyAlignment="1">
      <alignment horizontal="right" vertical="center" wrapText="1"/>
    </xf>
    <xf numFmtId="0" fontId="1" fillId="0" borderId="27" xfId="0" applyFont="1" applyFill="1" applyBorder="1" applyAlignment="1">
      <alignment horizontal="center" vertical="center" wrapText="1"/>
    </xf>
    <xf numFmtId="1" fontId="0" fillId="0" borderId="0" xfId="0" applyNumberFormat="1" applyFont="1" applyFill="1" applyBorder="1" applyAlignment="1">
      <alignment horizontal="right" wrapText="1"/>
    </xf>
    <xf numFmtId="1" fontId="0" fillId="0" borderId="30" xfId="0" applyNumberFormat="1" applyFont="1" applyFill="1" applyBorder="1" applyAlignment="1">
      <alignment horizontal="right" wrapText="1"/>
    </xf>
    <xf numFmtId="0" fontId="0" fillId="2" borderId="17" xfId="0" applyFont="1" applyFill="1" applyBorder="1" applyAlignment="1">
      <alignment wrapText="1"/>
    </xf>
    <xf numFmtId="0" fontId="0" fillId="2" borderId="18" xfId="0" applyFont="1" applyFill="1" applyBorder="1" applyAlignment="1">
      <alignment horizontal="right" wrapText="1"/>
    </xf>
    <xf numFmtId="0" fontId="0" fillId="2" borderId="19" xfId="0" applyFont="1" applyFill="1" applyBorder="1" applyAlignment="1">
      <alignment horizontal="right" wrapText="1"/>
    </xf>
    <xf numFmtId="0" fontId="0" fillId="2" borderId="13" xfId="0" applyFont="1" applyFill="1" applyBorder="1" applyAlignment="1">
      <alignment wrapText="1"/>
    </xf>
    <xf numFmtId="0" fontId="0" fillId="2" borderId="6" xfId="0" applyFont="1" applyFill="1" applyBorder="1" applyAlignment="1">
      <alignment horizontal="right" wrapText="1"/>
    </xf>
    <xf numFmtId="0" fontId="0" fillId="2" borderId="10" xfId="0" applyFont="1" applyFill="1" applyBorder="1" applyAlignment="1">
      <alignment horizontal="right" wrapText="1"/>
    </xf>
    <xf numFmtId="0" fontId="5" fillId="2" borderId="13" xfId="0" applyFont="1" applyFill="1" applyBorder="1" applyAlignment="1">
      <alignment wrapText="1"/>
    </xf>
    <xf numFmtId="0" fontId="5" fillId="2" borderId="6" xfId="0" applyFont="1" applyFill="1" applyBorder="1" applyAlignment="1">
      <alignment horizontal="right" wrapText="1"/>
    </xf>
    <xf numFmtId="0" fontId="5" fillId="2" borderId="10" xfId="0" applyFont="1" applyFill="1" applyBorder="1" applyAlignment="1">
      <alignment horizontal="right" wrapText="1"/>
    </xf>
    <xf numFmtId="0" fontId="3" fillId="2" borderId="10" xfId="0" applyFont="1" applyFill="1" applyBorder="1" applyAlignment="1">
      <alignment wrapText="1"/>
    </xf>
    <xf numFmtId="0" fontId="0" fillId="2" borderId="14" xfId="0" applyFont="1" applyFill="1" applyBorder="1" applyAlignment="1">
      <alignment wrapText="1"/>
    </xf>
    <xf numFmtId="0" fontId="0" fillId="2" borderId="8" xfId="0" applyFont="1" applyFill="1" applyBorder="1" applyAlignment="1">
      <alignment horizontal="right" wrapText="1"/>
    </xf>
    <xf numFmtId="0" fontId="3" fillId="2" borderId="11" xfId="0" applyFont="1" applyFill="1" applyBorder="1" applyAlignment="1">
      <alignment wrapText="1"/>
    </xf>
    <xf numFmtId="0" fontId="0" fillId="2" borderId="15" xfId="0" applyFill="1" applyBorder="1" applyAlignment="1">
      <alignment horizontal="center"/>
    </xf>
    <xf numFmtId="0" fontId="11" fillId="0" borderId="9" xfId="0" applyFont="1" applyFill="1" applyBorder="1" applyAlignment="1">
      <alignment horizontal="center" vertical="center" wrapText="1"/>
    </xf>
    <xf numFmtId="0" fontId="0" fillId="5" borderId="20" xfId="0" applyFill="1" applyBorder="1" applyAlignment="1">
      <alignment horizontal="center"/>
    </xf>
    <xf numFmtId="0" fontId="12" fillId="2" borderId="26" xfId="0" applyFont="1" applyFill="1" applyBorder="1" applyAlignment="1">
      <alignment horizontal="right" vertical="center" wrapText="1"/>
    </xf>
    <xf numFmtId="164" fontId="12" fillId="4" borderId="26" xfId="0" applyNumberFormat="1" applyFont="1" applyFill="1" applyBorder="1" applyAlignment="1">
      <alignment horizontal="right" vertical="center" wrapText="1"/>
    </xf>
    <xf numFmtId="164" fontId="6" fillId="3" borderId="15" xfId="0" applyNumberFormat="1" applyFont="1" applyFill="1" applyBorder="1" applyAlignment="1">
      <alignment horizontal="right" vertical="center" wrapText="1"/>
    </xf>
    <xf numFmtId="0" fontId="1" fillId="6" borderId="9" xfId="0" applyFont="1" applyFill="1" applyBorder="1" applyAlignment="1">
      <alignment horizontal="center" vertical="center" wrapText="1"/>
    </xf>
    <xf numFmtId="0" fontId="1" fillId="6" borderId="31"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3" fillId="7" borderId="22" xfId="0" applyFont="1" applyFill="1" applyBorder="1" applyAlignment="1">
      <alignment horizontal="right" wrapText="1"/>
    </xf>
    <xf numFmtId="0" fontId="13" fillId="7" borderId="26" xfId="0" applyFont="1" applyFill="1" applyBorder="1" applyAlignment="1">
      <alignment horizontal="right" wrapText="1"/>
    </xf>
    <xf numFmtId="0" fontId="10" fillId="0" borderId="29" xfId="0" applyFont="1" applyBorder="1" applyAlignment="1">
      <alignment horizontal="center" vertical="center"/>
    </xf>
    <xf numFmtId="0" fontId="10" fillId="0" borderId="0" xfId="0" applyFont="1" applyBorder="1" applyAlignment="1">
      <alignment horizontal="center" vertical="center"/>
    </xf>
    <xf numFmtId="0" fontId="14" fillId="0" borderId="0" xfId="0" applyFont="1" applyBorder="1" applyAlignment="1">
      <alignment horizontal="center" vertical="center"/>
    </xf>
    <xf numFmtId="0" fontId="9" fillId="7" borderId="22" xfId="0" applyFont="1" applyFill="1" applyBorder="1" applyAlignment="1">
      <alignment horizontal="right" wrapText="1"/>
    </xf>
    <xf numFmtId="0" fontId="9" fillId="7" borderId="26" xfId="0" applyFont="1" applyFill="1" applyBorder="1" applyAlignment="1">
      <alignment horizontal="right" wrapText="1"/>
    </xf>
    <xf numFmtId="0" fontId="11" fillId="0" borderId="3"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25" xfId="0" applyFont="1" applyFill="1" applyBorder="1" applyAlignment="1">
      <alignment horizontal="center" vertical="center" wrapText="1"/>
    </xf>
    <xf numFmtId="0" fontId="11" fillId="0" borderId="22" xfId="0" applyFont="1" applyFill="1" applyBorder="1" applyAlignment="1">
      <alignment horizontal="center" vertical="center" wrapText="1"/>
    </xf>
    <xf numFmtId="0" fontId="11" fillId="0" borderId="26" xfId="0" applyFont="1" applyFill="1" applyBorder="1" applyAlignment="1">
      <alignment horizontal="center" vertical="center" wrapText="1"/>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0A02-FD69-493C-AB91-7265D86F2CBF}">
  <dimension ref="A1:K17"/>
  <sheetViews>
    <sheetView tabSelected="1" workbookViewId="0">
      <selection activeCell="D3" sqref="D3"/>
    </sheetView>
  </sheetViews>
  <sheetFormatPr defaultRowHeight="15" x14ac:dyDescent="0.25"/>
  <cols>
    <col min="1" max="1" width="25.5703125" customWidth="1"/>
    <col min="2" max="2" width="12" bestFit="1" customWidth="1"/>
    <col min="3" max="3" width="11.42578125" customWidth="1"/>
    <col min="4" max="4" width="16.7109375" customWidth="1"/>
    <col min="5" max="5" width="20.7109375" hidden="1" customWidth="1"/>
    <col min="6" max="6" width="12.42578125" customWidth="1"/>
    <col min="7" max="7" width="13.5703125" customWidth="1"/>
    <col min="8" max="8" width="13" customWidth="1"/>
    <col min="9" max="9" width="15.85546875" customWidth="1"/>
    <col min="10" max="10" width="7.5703125" customWidth="1"/>
    <col min="11" max="11" width="20.140625" customWidth="1"/>
  </cols>
  <sheetData>
    <row r="1" spans="1:11" ht="19.5" thickBot="1" x14ac:dyDescent="0.3">
      <c r="A1" s="58" t="s">
        <v>13</v>
      </c>
      <c r="B1" s="59"/>
      <c r="C1" s="59"/>
      <c r="D1" s="59"/>
      <c r="H1" s="60" t="s">
        <v>19</v>
      </c>
      <c r="I1" s="60"/>
      <c r="J1" s="60"/>
      <c r="K1" s="60"/>
    </row>
    <row r="2" spans="1:11" ht="27" customHeight="1" thickBot="1" x14ac:dyDescent="0.45">
      <c r="A2" s="61" t="s">
        <v>8</v>
      </c>
      <c r="B2" s="61"/>
      <c r="C2" s="62"/>
      <c r="D2" s="50">
        <v>100</v>
      </c>
      <c r="E2" s="2"/>
      <c r="F2" s="3"/>
      <c r="G2" s="2"/>
      <c r="H2" s="2"/>
      <c r="I2" s="2"/>
      <c r="J2" s="2"/>
      <c r="K2" s="1"/>
    </row>
    <row r="3" spans="1:11" ht="21.75" thickBot="1" x14ac:dyDescent="0.35">
      <c r="A3" s="56" t="s">
        <v>18</v>
      </c>
      <c r="B3" s="56"/>
      <c r="C3" s="57"/>
      <c r="D3" s="51">
        <f>$D$2*(SUM($E6:$E15)/($C$16*100))</f>
        <v>250</v>
      </c>
      <c r="E3" s="2"/>
      <c r="F3" s="3"/>
      <c r="G3" s="2"/>
      <c r="H3" s="2"/>
      <c r="I3" s="2"/>
      <c r="J3" s="2"/>
      <c r="K3" s="1"/>
    </row>
    <row r="4" spans="1:11" ht="26.25" thickBot="1" x14ac:dyDescent="0.3">
      <c r="A4" s="63" t="s">
        <v>2</v>
      </c>
      <c r="B4" s="64"/>
      <c r="C4" s="65"/>
      <c r="D4" s="48" t="s">
        <v>10</v>
      </c>
      <c r="E4" s="4"/>
      <c r="F4" s="2"/>
      <c r="G4" s="4"/>
      <c r="H4" s="66" t="s">
        <v>6</v>
      </c>
      <c r="I4" s="67"/>
      <c r="J4" s="67"/>
      <c r="K4" s="68"/>
    </row>
    <row r="5" spans="1:11" ht="60.75" thickBot="1" x14ac:dyDescent="0.3">
      <c r="A5" s="22" t="s">
        <v>1</v>
      </c>
      <c r="B5" s="23" t="s">
        <v>4</v>
      </c>
      <c r="C5" s="24" t="s">
        <v>5</v>
      </c>
      <c r="D5" s="25" t="s">
        <v>15</v>
      </c>
      <c r="E5" s="26" t="s">
        <v>9</v>
      </c>
      <c r="F5" s="22" t="s">
        <v>17</v>
      </c>
      <c r="G5" s="23" t="s">
        <v>3</v>
      </c>
      <c r="H5" s="27" t="s">
        <v>0</v>
      </c>
      <c r="I5" s="28" t="s">
        <v>11</v>
      </c>
      <c r="J5" s="31"/>
      <c r="K5" s="24" t="s">
        <v>7</v>
      </c>
    </row>
    <row r="6" spans="1:11" x14ac:dyDescent="0.25">
      <c r="A6" s="19" t="s">
        <v>20</v>
      </c>
      <c r="B6" s="34">
        <v>2</v>
      </c>
      <c r="C6" s="35">
        <v>80</v>
      </c>
      <c r="D6" s="36">
        <v>30</v>
      </c>
      <c r="E6" s="11">
        <f>$C6*$B6</f>
        <v>160</v>
      </c>
      <c r="F6" s="12">
        <f t="shared" ref="F6:F15" si="0">$D$3*$E6/SUM($E$6:$E$16)</f>
        <v>160</v>
      </c>
      <c r="G6" s="13">
        <f t="shared" ref="G6:G15" si="1">IF(ISNUMBER(B6),F6/B6,"")</f>
        <v>80</v>
      </c>
      <c r="H6" s="16">
        <f>IF(ISNUMBER($D6*$G6),ROUNDUP($D6*$G6/1000+1,0),"")</f>
        <v>4</v>
      </c>
      <c r="I6" s="17">
        <f>ROUNDUP($F6,0)*60</f>
        <v>9600</v>
      </c>
      <c r="J6" s="32"/>
      <c r="K6" s="49">
        <f>$H$16*K12</f>
        <v>52</v>
      </c>
    </row>
    <row r="7" spans="1:11" ht="15.75" thickBot="1" x14ac:dyDescent="0.3">
      <c r="A7" s="20" t="s">
        <v>21</v>
      </c>
      <c r="B7" s="37">
        <v>8</v>
      </c>
      <c r="C7" s="38">
        <v>10</v>
      </c>
      <c r="D7" s="39">
        <v>1000</v>
      </c>
      <c r="E7" s="11">
        <f t="shared" ref="E7:E15" si="2">$C7*$B7</f>
        <v>80</v>
      </c>
      <c r="F7" s="8">
        <f t="shared" si="0"/>
        <v>80</v>
      </c>
      <c r="G7" s="6">
        <f t="shared" si="1"/>
        <v>10</v>
      </c>
      <c r="H7" s="16">
        <f t="shared" ref="H7:H15" si="3">IF(ISNUMBER($D7*$G7),ROUNDUP($D7*$G7/1000+1,0),"")</f>
        <v>11</v>
      </c>
      <c r="I7" s="17">
        <f t="shared" ref="I7:I15" si="4">ROUNDUP($F7,0)*60</f>
        <v>4800</v>
      </c>
      <c r="J7" s="32"/>
      <c r="K7" s="5"/>
    </row>
    <row r="8" spans="1:11" x14ac:dyDescent="0.25">
      <c r="A8" s="20" t="s">
        <v>22</v>
      </c>
      <c r="B8" s="37">
        <v>1</v>
      </c>
      <c r="C8" s="38">
        <v>10</v>
      </c>
      <c r="D8" s="39">
        <v>1000</v>
      </c>
      <c r="E8" s="11">
        <f t="shared" si="2"/>
        <v>10</v>
      </c>
      <c r="F8" s="8">
        <f t="shared" si="0"/>
        <v>10</v>
      </c>
      <c r="G8" s="6">
        <f t="shared" si="1"/>
        <v>10</v>
      </c>
      <c r="H8" s="16">
        <f t="shared" si="3"/>
        <v>11</v>
      </c>
      <c r="I8" s="29">
        <f t="shared" si="4"/>
        <v>600</v>
      </c>
      <c r="J8" s="32"/>
      <c r="K8" s="53" t="s">
        <v>14</v>
      </c>
    </row>
    <row r="9" spans="1:11" x14ac:dyDescent="0.25">
      <c r="A9" s="20"/>
      <c r="B9" s="37"/>
      <c r="C9" s="38"/>
      <c r="D9" s="39"/>
      <c r="E9" s="11">
        <f t="shared" si="2"/>
        <v>0</v>
      </c>
      <c r="F9" s="8">
        <f t="shared" si="0"/>
        <v>0</v>
      </c>
      <c r="G9" s="6" t="str">
        <f t="shared" si="1"/>
        <v/>
      </c>
      <c r="H9" s="16" t="str">
        <f t="shared" si="3"/>
        <v/>
      </c>
      <c r="I9" s="29">
        <f t="shared" si="4"/>
        <v>0</v>
      </c>
      <c r="J9" s="32"/>
      <c r="K9" s="54"/>
    </row>
    <row r="10" spans="1:11" x14ac:dyDescent="0.25">
      <c r="A10" s="20"/>
      <c r="B10" s="37"/>
      <c r="C10" s="38"/>
      <c r="D10" s="39"/>
      <c r="E10" s="11">
        <f t="shared" si="2"/>
        <v>0</v>
      </c>
      <c r="F10" s="8">
        <f t="shared" si="0"/>
        <v>0</v>
      </c>
      <c r="G10" s="6" t="str">
        <f t="shared" si="1"/>
        <v/>
      </c>
      <c r="H10" s="16" t="str">
        <f t="shared" si="3"/>
        <v/>
      </c>
      <c r="I10" s="17">
        <f t="shared" si="4"/>
        <v>0</v>
      </c>
      <c r="J10" s="32"/>
      <c r="K10" s="54"/>
    </row>
    <row r="11" spans="1:11" ht="15" customHeight="1" thickBot="1" x14ac:dyDescent="0.3">
      <c r="A11" s="20"/>
      <c r="B11" s="40"/>
      <c r="C11" s="41"/>
      <c r="D11" s="42"/>
      <c r="E11" s="11">
        <f t="shared" si="2"/>
        <v>0</v>
      </c>
      <c r="F11" s="8">
        <f t="shared" si="0"/>
        <v>0</v>
      </c>
      <c r="G11" s="6" t="str">
        <f t="shared" si="1"/>
        <v/>
      </c>
      <c r="H11" s="16" t="str">
        <f t="shared" si="3"/>
        <v/>
      </c>
      <c r="I11" s="17">
        <f t="shared" si="4"/>
        <v>0</v>
      </c>
      <c r="J11" s="32"/>
      <c r="K11" s="55"/>
    </row>
    <row r="12" spans="1:11" ht="15.75" thickBot="1" x14ac:dyDescent="0.3">
      <c r="A12" s="20"/>
      <c r="B12" s="40"/>
      <c r="C12" s="41"/>
      <c r="D12" s="42"/>
      <c r="E12" s="11">
        <f t="shared" si="2"/>
        <v>0</v>
      </c>
      <c r="F12" s="8">
        <f t="shared" si="0"/>
        <v>0</v>
      </c>
      <c r="G12" s="6" t="str">
        <f t="shared" si="1"/>
        <v/>
      </c>
      <c r="H12" s="16" t="str">
        <f t="shared" si="3"/>
        <v/>
      </c>
      <c r="I12" s="17">
        <f t="shared" si="4"/>
        <v>0</v>
      </c>
      <c r="J12" s="33"/>
      <c r="K12" s="47">
        <v>2</v>
      </c>
    </row>
    <row r="13" spans="1:11" x14ac:dyDescent="0.25">
      <c r="A13" s="20"/>
      <c r="B13" s="37"/>
      <c r="C13" s="38"/>
      <c r="D13" s="43"/>
      <c r="E13" s="11">
        <f t="shared" si="2"/>
        <v>0</v>
      </c>
      <c r="F13" s="8">
        <f t="shared" si="0"/>
        <v>0</v>
      </c>
      <c r="G13" s="6" t="str">
        <f t="shared" si="1"/>
        <v/>
      </c>
      <c r="H13" s="16" t="str">
        <f t="shared" si="3"/>
        <v/>
      </c>
      <c r="I13" s="17">
        <f t="shared" si="4"/>
        <v>0</v>
      </c>
      <c r="J13" s="33"/>
    </row>
    <row r="14" spans="1:11" x14ac:dyDescent="0.25">
      <c r="A14" s="20"/>
      <c r="B14" s="37"/>
      <c r="C14" s="38"/>
      <c r="D14" s="39"/>
      <c r="E14" s="11">
        <f t="shared" si="2"/>
        <v>0</v>
      </c>
      <c r="F14" s="8">
        <f t="shared" si="0"/>
        <v>0</v>
      </c>
      <c r="G14" s="6" t="str">
        <f t="shared" si="1"/>
        <v/>
      </c>
      <c r="H14" s="16" t="str">
        <f t="shared" si="3"/>
        <v/>
      </c>
      <c r="I14" s="17">
        <f t="shared" si="4"/>
        <v>0</v>
      </c>
      <c r="J14" s="33"/>
    </row>
    <row r="15" spans="1:11" ht="15.75" thickBot="1" x14ac:dyDescent="0.3">
      <c r="A15" s="21"/>
      <c r="B15" s="44"/>
      <c r="C15" s="45"/>
      <c r="D15" s="46"/>
      <c r="E15" s="11">
        <f t="shared" si="2"/>
        <v>0</v>
      </c>
      <c r="F15" s="9">
        <f t="shared" si="0"/>
        <v>0</v>
      </c>
      <c r="G15" s="10" t="str">
        <f t="shared" si="1"/>
        <v/>
      </c>
      <c r="H15" s="16" t="str">
        <f t="shared" si="3"/>
        <v/>
      </c>
      <c r="I15" s="17">
        <f t="shared" si="4"/>
        <v>0</v>
      </c>
      <c r="J15" s="33"/>
    </row>
    <row r="16" spans="1:11" ht="19.5" thickBot="1" x14ac:dyDescent="0.3">
      <c r="C16" s="30" t="str">
        <f>_xlfn.CONCAT(SUM(C6:C15)," %")</f>
        <v>100 %</v>
      </c>
      <c r="D16" s="14" t="s">
        <v>12</v>
      </c>
      <c r="E16" s="7"/>
      <c r="F16" s="52">
        <f>SUM(F6:F15)</f>
        <v>250</v>
      </c>
      <c r="G16" s="15">
        <f>SUM(G6:G15)</f>
        <v>100</v>
      </c>
      <c r="H16" s="18">
        <f>SUM(H6:H15)</f>
        <v>26</v>
      </c>
    </row>
    <row r="17" spans="1:1" x14ac:dyDescent="0.25">
      <c r="A17" t="s">
        <v>16</v>
      </c>
    </row>
  </sheetData>
  <protectedRanges>
    <protectedRange sqref="K12" name="Range3"/>
    <protectedRange sqref="B6:D15" name="Range2"/>
    <protectedRange sqref="D3" name="Range1"/>
  </protectedRanges>
  <mergeCells count="7">
    <mergeCell ref="K8:K11"/>
    <mergeCell ref="A3:C3"/>
    <mergeCell ref="A1:D1"/>
    <mergeCell ref="H1:K1"/>
    <mergeCell ref="A2:C2"/>
    <mergeCell ref="A4:C4"/>
    <mergeCell ref="H4:K4"/>
  </mergeCells>
  <conditionalFormatting sqref="C16">
    <cfRule type="cellIs" dxfId="0" priority="1" operator="notEqual">
      <formula>"100 %"</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Esignet1.6.2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Deepesh Gurung</cp:lastModifiedBy>
  <dcterms:created xsi:type="dcterms:W3CDTF">2025-09-04T04:29:05Z</dcterms:created>
  <dcterms:modified xsi:type="dcterms:W3CDTF">2025-10-27T06:07:17Z</dcterms:modified>
</cp:coreProperties>
</file>